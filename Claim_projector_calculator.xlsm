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aeabf61c84c439/Desktop/Actuar_project/"/>
    </mc:Choice>
  </mc:AlternateContent>
  <xr:revisionPtr revIDLastSave="8" documentId="8_{40664F7E-27D8-4AB3-AA27-9844A7ACA8D4}" xr6:coauthVersionLast="47" xr6:coauthVersionMax="47" xr10:uidLastSave="{EF151271-EDDB-4255-92FF-B2EDA651890C}"/>
  <bookViews>
    <workbookView xWindow="-108" yWindow="-108" windowWidth="23256" windowHeight="12456" xr2:uid="{4526B028-FD9C-8D41-B4D1-4884CB08C0F7}"/>
  </bookViews>
  <sheets>
    <sheet name="Projected_Claims_Calculator" sheetId="1" r:id="rId1"/>
    <sheet name="Group_project_claim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" l="1"/>
  <c r="G21" i="1" a="1"/>
  <c r="G21" i="1" s="1"/>
  <c r="B22" i="1"/>
  <c r="D21" i="1" a="1"/>
  <c r="D21" i="1" s="1"/>
  <c r="E21" i="1" a="1"/>
  <c r="E21" i="1" s="1"/>
  <c r="F21" i="1" a="1"/>
  <c r="F21" i="1" s="1"/>
  <c r="H21" i="1" a="1"/>
  <c r="H21" i="1" s="1"/>
  <c r="I21" i="1" a="1"/>
  <c r="I21" i="1" s="1"/>
  <c r="J21" i="1" a="1"/>
  <c r="J21" i="1" s="1"/>
  <c r="K21" i="1" a="1"/>
  <c r="K21" i="1" s="1"/>
  <c r="L21" i="1" a="1"/>
  <c r="L21" i="1" s="1"/>
  <c r="M21" i="1" a="1"/>
  <c r="M21" i="1" s="1"/>
  <c r="N21" i="1" a="1"/>
  <c r="N21" i="1" s="1"/>
  <c r="O21" i="1" a="1"/>
  <c r="O21" i="1" s="1"/>
  <c r="P21" i="1" a="1"/>
  <c r="P21" i="1" s="1"/>
  <c r="Q21" i="1" a="1"/>
  <c r="Q21" i="1" s="1"/>
  <c r="R21" i="1" a="1"/>
  <c r="R21" i="1" s="1"/>
  <c r="S21" i="1" a="1"/>
  <c r="S21" i="1" s="1"/>
  <c r="T21" i="1" a="1"/>
  <c r="T21" i="1" s="1"/>
  <c r="U21" i="1" a="1"/>
  <c r="U21" i="1" s="1"/>
  <c r="V21" i="1" a="1"/>
  <c r="V21" i="1" s="1"/>
  <c r="W21" i="1" a="1"/>
  <c r="W21" i="1" s="1"/>
  <c r="X21" i="1" a="1"/>
  <c r="X21" i="1" s="1"/>
  <c r="Y21" i="1" a="1"/>
  <c r="Y21" i="1" s="1"/>
  <c r="Z21" i="1" a="1"/>
  <c r="Z21" i="1" s="1"/>
  <c r="C21" i="1" a="1"/>
  <c r="C21" i="1" s="1"/>
  <c r="B21" i="1" a="1"/>
  <c r="B21" i="1" s="1"/>
  <c r="B13" i="1"/>
  <c r="C4" i="1"/>
  <c r="D4" i="1"/>
  <c r="E4" i="1"/>
  <c r="F4" i="1"/>
  <c r="B4" i="1"/>
  <c r="D3" i="1"/>
  <c r="D5" i="1" s="1"/>
  <c r="E3" i="1"/>
  <c r="E5" i="1" s="1"/>
  <c r="F3" i="1"/>
  <c r="F5" i="1" s="1"/>
  <c r="C3" i="1"/>
  <c r="C5" i="1" s="1"/>
  <c r="B3" i="1"/>
  <c r="B5" i="1" s="1"/>
  <c r="W22" i="1" l="1"/>
  <c r="S22" i="1"/>
  <c r="O22" i="1"/>
  <c r="K22" i="1"/>
  <c r="G22" i="1"/>
  <c r="Z22" i="1"/>
  <c r="V22" i="1"/>
  <c r="R22" i="1"/>
  <c r="N22" i="1"/>
  <c r="J22" i="1"/>
  <c r="F22" i="1"/>
  <c r="Y22" i="1"/>
  <c r="U22" i="1"/>
  <c r="Q22" i="1"/>
  <c r="M22" i="1"/>
  <c r="I22" i="1"/>
  <c r="E22" i="1"/>
  <c r="X22" i="1"/>
  <c r="T22" i="1"/>
  <c r="P22" i="1"/>
  <c r="L22" i="1"/>
  <c r="H22" i="1"/>
  <c r="D22" i="1"/>
  <c r="B2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<sst xmlns="http://schemas.openxmlformats.org/spreadsheetml/2006/main" count="225" uniqueCount="118">
  <si>
    <t xml:space="preserve">Age </t>
  </si>
  <si>
    <t>Male</t>
  </si>
  <si>
    <t>Age</t>
  </si>
  <si>
    <t>Female</t>
  </si>
  <si>
    <t>Health condition</t>
  </si>
  <si>
    <t>Healthy</t>
  </si>
  <si>
    <t>Unhealthy</t>
  </si>
  <si>
    <t>Gender</t>
  </si>
  <si>
    <t>Health Condition</t>
  </si>
  <si>
    <t>Average claim amount</t>
  </si>
  <si>
    <t>Policy Year</t>
  </si>
  <si>
    <t>Age Category</t>
  </si>
  <si>
    <t>Projected Claims</t>
  </si>
  <si>
    <t>Name</t>
  </si>
  <si>
    <t>Condition</t>
  </si>
  <si>
    <t>Policyholder #1</t>
  </si>
  <si>
    <t>Policyholder #2</t>
  </si>
  <si>
    <t>Policyholder #3</t>
  </si>
  <si>
    <t>Policyholder #4</t>
  </si>
  <si>
    <t>Policyholder #5</t>
  </si>
  <si>
    <t>Policyholder #6</t>
  </si>
  <si>
    <t>Policyholder #7</t>
  </si>
  <si>
    <t>Policyholder #8</t>
  </si>
  <si>
    <t>Policyholder #9</t>
  </si>
  <si>
    <t>Policyholder #10</t>
  </si>
  <si>
    <t>Policyholder #11</t>
  </si>
  <si>
    <t>Policyholder #12</t>
  </si>
  <si>
    <t>Policyholder #13</t>
  </si>
  <si>
    <t>Policyholder #14</t>
  </si>
  <si>
    <t>Policyholder #15</t>
  </si>
  <si>
    <t>Policyholder #16</t>
  </si>
  <si>
    <t>Policyholder #17</t>
  </si>
  <si>
    <t>Policyholder #18</t>
  </si>
  <si>
    <t>Policyholder #19</t>
  </si>
  <si>
    <t>Policyholder #20</t>
  </si>
  <si>
    <t>Policyholder #21</t>
  </si>
  <si>
    <t>Policyholder #22</t>
  </si>
  <si>
    <t>Policyholder #23</t>
  </si>
  <si>
    <t>Policyholder #24</t>
  </si>
  <si>
    <t>Policyholder #25</t>
  </si>
  <si>
    <t>Policyholder #26</t>
  </si>
  <si>
    <t>Policyholder #27</t>
  </si>
  <si>
    <t>Policyholder #28</t>
  </si>
  <si>
    <t>Policyholder #29</t>
  </si>
  <si>
    <t>Policyholder #30</t>
  </si>
  <si>
    <t>Policyholder #31</t>
  </si>
  <si>
    <t>Policyholder #32</t>
  </si>
  <si>
    <t>Policyholder #33</t>
  </si>
  <si>
    <t>Policyholder #34</t>
  </si>
  <si>
    <t>Policyholder #35</t>
  </si>
  <si>
    <t>Policyholder #36</t>
  </si>
  <si>
    <t>Policyholder #37</t>
  </si>
  <si>
    <t>Policyholder #38</t>
  </si>
  <si>
    <t>Policyholder #39</t>
  </si>
  <si>
    <t>Policyholder #40</t>
  </si>
  <si>
    <t>Policyholder #41</t>
  </si>
  <si>
    <t>Policyholder #42</t>
  </si>
  <si>
    <t>Policyholder #43</t>
  </si>
  <si>
    <t>Policyholder #44</t>
  </si>
  <si>
    <t>Policyholder #45</t>
  </si>
  <si>
    <t>Policyholder #46</t>
  </si>
  <si>
    <t>Policyholder #47</t>
  </si>
  <si>
    <t>Policyholder #48</t>
  </si>
  <si>
    <t>Policyholder #49</t>
  </si>
  <si>
    <t>Policyholder #50</t>
  </si>
  <si>
    <t>Policyholder #51</t>
  </si>
  <si>
    <t>Policyholder #52</t>
  </si>
  <si>
    <t>Policyholder #53</t>
  </si>
  <si>
    <t>Policyholder #54</t>
  </si>
  <si>
    <t>Policyholder #55</t>
  </si>
  <si>
    <t>Policyholder #56</t>
  </si>
  <si>
    <t>Policyholder #57</t>
  </si>
  <si>
    <t>Policyholder #58</t>
  </si>
  <si>
    <t>Policyholder #59</t>
  </si>
  <si>
    <t>Policyholder #60</t>
  </si>
  <si>
    <t>Policyholder #61</t>
  </si>
  <si>
    <t>Policyholder #62</t>
  </si>
  <si>
    <t>Policyholder #63</t>
  </si>
  <si>
    <t>Policyholder #64</t>
  </si>
  <si>
    <t>Policyholder #65</t>
  </si>
  <si>
    <t>Policyholder #66</t>
  </si>
  <si>
    <t>Policyholder #67</t>
  </si>
  <si>
    <t>Policyholder #68</t>
  </si>
  <si>
    <t>Policyholder #69</t>
  </si>
  <si>
    <t>Policyholder #70</t>
  </si>
  <si>
    <t>Policyholder #71</t>
  </si>
  <si>
    <t>Policyholder #72</t>
  </si>
  <si>
    <t>Policyholder #73</t>
  </si>
  <si>
    <t>Policyholder #74</t>
  </si>
  <si>
    <t>Policyholder #75</t>
  </si>
  <si>
    <t>Policyholder #76</t>
  </si>
  <si>
    <t>Policyholder #77</t>
  </si>
  <si>
    <t>Policyholder #78</t>
  </si>
  <si>
    <t>Policyholder #79</t>
  </si>
  <si>
    <t>Policyholder #80</t>
  </si>
  <si>
    <t>Policyholder #81</t>
  </si>
  <si>
    <t>Policyholder #82</t>
  </si>
  <si>
    <t>Policyholder #83</t>
  </si>
  <si>
    <t>Policyholder #84</t>
  </si>
  <si>
    <t>Policyholder #85</t>
  </si>
  <si>
    <t>Policyholder #86</t>
  </si>
  <si>
    <t>Policyholder #87</t>
  </si>
  <si>
    <t>Policyholder #88</t>
  </si>
  <si>
    <t>Policyholder #89</t>
  </si>
  <si>
    <t>Policyholder #90</t>
  </si>
  <si>
    <t>Policyholder #91</t>
  </si>
  <si>
    <t>Policyholder #92</t>
  </si>
  <si>
    <t>Policyholder #93</t>
  </si>
  <si>
    <t>Policyholder #94</t>
  </si>
  <si>
    <t>Policyholder #95</t>
  </si>
  <si>
    <t>Policyholder #96</t>
  </si>
  <si>
    <t>Policyholder #97</t>
  </si>
  <si>
    <t>Policyholder #98</t>
  </si>
  <si>
    <t>Policyholder #99</t>
  </si>
  <si>
    <t>Policyholder #100</t>
  </si>
  <si>
    <t>F</t>
  </si>
  <si>
    <t>Total Projected Calims</t>
  </si>
  <si>
    <t>Total Projected Claims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</si>
</sst>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0.0%"/>
    <numFmt numFmtId="166" formatCode="_(&quot;$&quot;* #,##0_);_(&quot;$&quot;* \(#,##0\);_(&quot;$&quot;* &quot;-&quot;??_);_(@_)"/>
    <numFmt numFmtId="167" formatCode="_-[$$-1009]* #,##0.00_-;\-[$$-1009]* #,##0.00_-;_-[$$-1009]* &quot;-&quot;??_-;_-@_-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2" applyFont="1"/>
    <xf numFmtId="165" fontId="0" fillId="0" borderId="0" xfId="2" applyNumberFormat="1" applyFont="1"/>
    <xf numFmtId="10" fontId="0" fillId="0" borderId="0" xfId="2" applyNumberFormat="1" applyFont="1"/>
    <xf numFmtId="167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1" xfId="0" applyFill="1" applyBorder="1"/>
    <xf numFmtId="0" fontId="2" fillId="0" borderId="0" xfId="0" applyFont="1"/>
    <xf numFmtId="166" fontId="2" fillId="0" borderId="0" xfId="1" applyNumberFormat="1" applyFont="1"/>
    <xf numFmtId="0" fontId="2" fillId="3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5</xdr:row>
      <xdr:rowOff>101600</xdr:rowOff>
    </xdr:from>
    <xdr:to>
      <xdr:col>10</xdr:col>
      <xdr:colOff>609600</xdr:colOff>
      <xdr:row>11</xdr:row>
      <xdr:rowOff>63500</xdr:rowOff>
    </xdr:to>
    <xdr:sp macro="[0]!Totalprojectedloss" textlink="">
      <xdr:nvSpPr>
        <xdr:cNvPr id="2" name="Rounded Rectangle 1">
          <a:extLst>
            <a:ext uri="{FF2B5EF4-FFF2-40B4-BE49-F238E27FC236}">
              <a16:creationId xmlns:a16="http://schemas.microsoft.com/office/drawing/2014/main" id="{5F252BBE-D47B-2368-2C41-7D3BBBF8E1E4}"/>
            </a:ext>
          </a:extLst>
        </xdr:cNvPr>
        <xdr:cNvSpPr/>
      </xdr:nvSpPr>
      <xdr:spPr>
        <a:xfrm>
          <a:off x="7378700" y="1117600"/>
          <a:ext cx="2514600" cy="1181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Total Projected Claims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0A907-B819-5E49-A1A6-7BC57FF9F2CD}">
  <sheetPr codeName="Sheet1"/>
  <dimension ref="A1:Z24"/>
  <sheetViews>
    <sheetView tabSelected="1" workbookViewId="0">
      <selection activeCell="G13" sqref="G13"/>
    </sheetView>
  </sheetViews>
  <sheetFormatPr defaultColWidth="11.19921875" defaultRowHeight="15.6" x14ac:dyDescent="0.3"/>
  <cols>
    <col min="1" max="1" width="19.796875" bestFit="1" customWidth="1"/>
    <col min="2" max="2" width="9" bestFit="1" customWidth="1"/>
    <col min="7" max="7" width="14.5" bestFit="1" customWidth="1"/>
  </cols>
  <sheetData>
    <row r="1" spans="1:16" x14ac:dyDescent="0.3">
      <c r="A1" t="s">
        <v>0</v>
      </c>
      <c r="B1">
        <v>20</v>
      </c>
      <c r="C1">
        <v>30</v>
      </c>
      <c r="D1">
        <v>40</v>
      </c>
      <c r="E1">
        <v>50</v>
      </c>
      <c r="F1">
        <v>60</v>
      </c>
      <c r="G1" t="s">
        <v>4</v>
      </c>
    </row>
    <row r="2" spans="1:16" x14ac:dyDescent="0.3">
      <c r="A2" t="s">
        <v>1</v>
      </c>
      <c r="B2" s="1">
        <v>0.01</v>
      </c>
      <c r="C2" s="2">
        <v>1.4999999999999999E-2</v>
      </c>
      <c r="D2" s="1">
        <v>0.03</v>
      </c>
      <c r="E2" s="1">
        <v>0.05</v>
      </c>
      <c r="F2" s="1">
        <v>0.08</v>
      </c>
      <c r="G2" t="s">
        <v>5</v>
      </c>
    </row>
    <row r="3" spans="1:16" x14ac:dyDescent="0.3">
      <c r="A3" t="s">
        <v>3</v>
      </c>
      <c r="B3" s="3">
        <f>B2*0.75</f>
        <v>7.4999999999999997E-3</v>
      </c>
      <c r="C3" s="3">
        <f>C2*0.75</f>
        <v>1.125E-2</v>
      </c>
      <c r="D3" s="3">
        <f t="shared" ref="D3:F3" si="0">D2*0.75</f>
        <v>2.2499999999999999E-2</v>
      </c>
      <c r="E3" s="3">
        <f t="shared" si="0"/>
        <v>3.7500000000000006E-2</v>
      </c>
      <c r="F3" s="3">
        <f t="shared" si="0"/>
        <v>0.06</v>
      </c>
      <c r="G3" t="s">
        <v>5</v>
      </c>
    </row>
    <row r="4" spans="1:16" x14ac:dyDescent="0.3">
      <c r="A4" t="s">
        <v>1</v>
      </c>
      <c r="B4">
        <f>B2*1.5</f>
        <v>1.4999999999999999E-2</v>
      </c>
      <c r="C4">
        <f t="shared" ref="C4:F4" si="1">C2*1.5</f>
        <v>2.2499999999999999E-2</v>
      </c>
      <c r="D4">
        <f t="shared" si="1"/>
        <v>4.4999999999999998E-2</v>
      </c>
      <c r="E4">
        <f t="shared" si="1"/>
        <v>7.5000000000000011E-2</v>
      </c>
      <c r="F4">
        <f t="shared" si="1"/>
        <v>0.12</v>
      </c>
      <c r="G4" t="s">
        <v>6</v>
      </c>
    </row>
    <row r="5" spans="1:16" x14ac:dyDescent="0.3">
      <c r="A5" t="s">
        <v>3</v>
      </c>
      <c r="B5">
        <f>B3*1.5</f>
        <v>1.125E-2</v>
      </c>
      <c r="C5">
        <f t="shared" ref="C5:F5" si="2">C3*1.5</f>
        <v>1.6875000000000001E-2</v>
      </c>
      <c r="D5">
        <f t="shared" si="2"/>
        <v>3.3750000000000002E-2</v>
      </c>
      <c r="E5">
        <f t="shared" si="2"/>
        <v>5.6250000000000008E-2</v>
      </c>
      <c r="F5">
        <f t="shared" si="2"/>
        <v>0.09</v>
      </c>
      <c r="G5" t="s">
        <v>6</v>
      </c>
    </row>
    <row r="6" spans="1:16" x14ac:dyDescent="0.3">
      <c r="B6" s="1"/>
      <c r="C6" s="1"/>
      <c r="D6" s="1"/>
      <c r="E6" s="1"/>
      <c r="F6" s="1"/>
      <c r="P6" s="4"/>
    </row>
    <row r="10" spans="1:16" x14ac:dyDescent="0.3">
      <c r="A10" s="9" t="s">
        <v>7</v>
      </c>
      <c r="B10" s="10" t="s">
        <v>115</v>
      </c>
    </row>
    <row r="11" spans="1:16" x14ac:dyDescent="0.3">
      <c r="A11" s="9" t="s">
        <v>2</v>
      </c>
      <c r="B11" s="10">
        <v>35</v>
      </c>
    </row>
    <row r="12" spans="1:16" x14ac:dyDescent="0.3">
      <c r="A12" s="9" t="s">
        <v>8</v>
      </c>
      <c r="B12" s="10" t="s">
        <v>5</v>
      </c>
    </row>
    <row r="13" spans="1:16" x14ac:dyDescent="0.3">
      <c r="A13" s="9" t="s">
        <v>9</v>
      </c>
      <c r="B13" s="11">
        <f>IF(B10="F",492,687)</f>
        <v>492</v>
      </c>
    </row>
    <row r="20" spans="1:26" x14ac:dyDescent="0.3">
      <c r="A20" s="5" t="s">
        <v>10</v>
      </c>
      <c r="B20" s="6">
        <v>1</v>
      </c>
      <c r="C20" s="7">
        <v>2</v>
      </c>
      <c r="D20" s="7">
        <v>3</v>
      </c>
      <c r="E20" s="7">
        <v>4</v>
      </c>
      <c r="F20" s="7">
        <v>5</v>
      </c>
      <c r="G20" s="7">
        <v>6</v>
      </c>
      <c r="H20" s="7">
        <v>7</v>
      </c>
      <c r="I20" s="7">
        <v>8</v>
      </c>
      <c r="J20" s="7">
        <v>9</v>
      </c>
      <c r="K20" s="7">
        <v>10</v>
      </c>
      <c r="L20" s="7">
        <v>11</v>
      </c>
      <c r="M20" s="7">
        <v>12</v>
      </c>
      <c r="N20" s="7">
        <v>13</v>
      </c>
      <c r="O20" s="7">
        <v>14</v>
      </c>
      <c r="P20" s="7">
        <v>15</v>
      </c>
      <c r="Q20" s="7">
        <v>16</v>
      </c>
      <c r="R20" s="7">
        <v>17</v>
      </c>
      <c r="S20" s="7">
        <v>18</v>
      </c>
      <c r="T20" s="7">
        <v>19</v>
      </c>
      <c r="U20" s="7">
        <v>20</v>
      </c>
      <c r="V20" s="7">
        <v>21</v>
      </c>
      <c r="W20" s="7">
        <v>22</v>
      </c>
      <c r="X20" s="7">
        <v>23</v>
      </c>
      <c r="Y20" s="7">
        <v>24</v>
      </c>
      <c r="Z20" s="8">
        <v>25</v>
      </c>
    </row>
    <row r="21" spans="1:26" x14ac:dyDescent="0.3">
      <c r="A21" s="5" t="s">
        <v>11</v>
      </c>
      <c r="B21" cm="1">
        <f t="array" ref="B21">_xlfn.IFS($B$11&gt;200,200,$B$11&gt;=100,100,$B$11&gt;=90,90,$B$11&gt;=80,80,$B$11&gt;=70,70,$B$11&gt;=60,60,$B$11&gt;=50,50,$B$11&gt;=40,40,$B$11&gt;=30,30,$B$11&gt;=20,20)</f>
        <v>30</v>
      </c>
      <c r="C21" cm="1">
        <f t="array" ref="C21">_xlfn.IFS($B$11+B20 &gt;= 200,200,$B$11+B20 &gt;=100,100,$B$11+B20&gt;=90,90,$B$11+B20&gt;=80,80,$B$11+B20&gt;=70,70,$B$11+B20&gt;=60,60,$B$11+B20&gt;=50,50,$B$11+B20&gt;=40,40,$B$11+B20&gt;=30,30,$B$11+B20&gt;=20,20)</f>
        <v>30</v>
      </c>
      <c r="D21" cm="1">
        <f t="array" ref="D21">_xlfn.IFS($B$11+C20 &gt;= 200,200,$B$11+C20 &gt;=100,100,$B$11+C20&gt;=90,90,$B$11+C20&gt;=80,80,$B$11+C20&gt;=70,70,$B$11+C20&gt;=60,60,$B$11+C20&gt;=50,50,$B$11+C20&gt;=40,40,$B$11+C20&gt;=30,30,$B$11+C20&gt;=20,20)</f>
        <v>30</v>
      </c>
      <c r="E21" cm="1">
        <f t="array" ref="E21">_xlfn.IFS($B$11+D20 &gt;= 200,200,$B$11+D20 &gt;=100,100,$B$11+D20&gt;=90,90,$B$11+D20&gt;=80,80,$B$11+D20&gt;=70,70,$B$11+D20&gt;=60,60,$B$11+D20&gt;=50,50,$B$11+D20&gt;=40,40,$B$11+D20&gt;=30,30,$B$11+D20&gt;=20,20)</f>
        <v>30</v>
      </c>
      <c r="F21" cm="1">
        <f t="array" ref="F21">_xlfn.IFS($B$11+E20 &gt;= 200,200,$B$11+E20 &gt;=100,100,$B$11+E20&gt;=90,90,$B$11+E20&gt;=80,80,$B$11+E20&gt;=70,70,$B$11+E20&gt;=60,60,$B$11+E20&gt;=50,50,$B$11+E20&gt;=40,40,$B$11+E20&gt;=30,30,$B$11+E20&gt;=20,20)</f>
        <v>30</v>
      </c>
      <c r="G21" cm="1">
        <f t="array" ref="G21">_xlfn.IFS($B$11+F20 &gt;= 200,200,$B$11+F20 &gt;=100,100,$B$11+F20&gt;=90,90,$B$11+F20&gt;=80,80,$B$11+F20&gt;=70,70,$B$11+F20&gt;=60,60,$B$11+F20&gt;=50,50,$B$11+F20&gt;=40,40,$B$11+F20&gt;=30,30,$B$11+F20&gt;=20,20)</f>
        <v>40</v>
      </c>
      <c r="H21" cm="1">
        <f t="array" ref="H21">_xlfn.IFS($B$11+G20 &gt;= 200,200,$B$11+G20 &gt;=100,100,$B$11+G20&gt;=90,90,$B$11+G20&gt;=80,80,$B$11+G20&gt;=70,70,$B$11+G20&gt;=60,60,$B$11+G20&gt;=50,50,$B$11+G20&gt;=40,40,$B$11+G20&gt;=30,30,$B$11+G20&gt;=20,20)</f>
        <v>40</v>
      </c>
      <c r="I21" cm="1">
        <f t="array" ref="I21">_xlfn.IFS($B$11+H20 &gt;= 200,200,$B$11+H20 &gt;=100,100,$B$11+H20&gt;=90,90,$B$11+H20&gt;=80,80,$B$11+H20&gt;=70,70,$B$11+H20&gt;=60,60,$B$11+H20&gt;=50,50,$B$11+H20&gt;=40,40,$B$11+H20&gt;=30,30,$B$11+H20&gt;=20,20)</f>
        <v>40</v>
      </c>
      <c r="J21" cm="1">
        <f t="array" ref="J21">_xlfn.IFS($B$11+I20 &gt;= 200,200,$B$11+I20 &gt;=100,100,$B$11+I20&gt;=90,90,$B$11+I20&gt;=80,80,$B$11+I20&gt;=70,70,$B$11+I20&gt;=60,60,$B$11+I20&gt;=50,50,$B$11+I20&gt;=40,40,$B$11+I20&gt;=30,30,$B$11+I20&gt;=20,20)</f>
        <v>40</v>
      </c>
      <c r="K21" cm="1">
        <f t="array" ref="K21">_xlfn.IFS($B$11+J20 &gt;= 200,200,$B$11+J20 &gt;=100,100,$B$11+J20&gt;=90,90,$B$11+J20&gt;=80,80,$B$11+J20&gt;=70,70,$B$11+J20&gt;=60,60,$B$11+J20&gt;=50,50,$B$11+J20&gt;=40,40,$B$11+J20&gt;=30,30,$B$11+J20&gt;=20,20)</f>
        <v>40</v>
      </c>
      <c r="L21" cm="1">
        <f t="array" ref="L21">_xlfn.IFS($B$11+K20 &gt;= 200,200,$B$11+K20 &gt;=100,100,$B$11+K20&gt;=90,90,$B$11+K20&gt;=80,80,$B$11+K20&gt;=70,70,$B$11+K20&gt;=60,60,$B$11+K20&gt;=50,50,$B$11+K20&gt;=40,40,$B$11+K20&gt;=30,30,$B$11+K20&gt;=20,20)</f>
        <v>40</v>
      </c>
      <c r="M21" cm="1">
        <f t="array" ref="M21">_xlfn.IFS($B$11+L20 &gt;= 200,200,$B$11+L20 &gt;=100,100,$B$11+L20&gt;=90,90,$B$11+L20&gt;=80,80,$B$11+L20&gt;=70,70,$B$11+L20&gt;=60,60,$B$11+L20&gt;=50,50,$B$11+L20&gt;=40,40,$B$11+L20&gt;=30,30,$B$11+L20&gt;=20,20)</f>
        <v>40</v>
      </c>
      <c r="N21" cm="1">
        <f t="array" ref="N21">_xlfn.IFS($B$11+M20 &gt;= 200,200,$B$11+M20 &gt;=100,100,$B$11+M20&gt;=90,90,$B$11+M20&gt;=80,80,$B$11+M20&gt;=70,70,$B$11+M20&gt;=60,60,$B$11+M20&gt;=50,50,$B$11+M20&gt;=40,40,$B$11+M20&gt;=30,30,$B$11+M20&gt;=20,20)</f>
        <v>40</v>
      </c>
      <c r="O21" cm="1">
        <f t="array" ref="O21">_xlfn.IFS($B$11+N20 &gt;= 200,200,$B$11+N20 &gt;=100,100,$B$11+N20&gt;=90,90,$B$11+N20&gt;=80,80,$B$11+N20&gt;=70,70,$B$11+N20&gt;=60,60,$B$11+N20&gt;=50,50,$B$11+N20&gt;=40,40,$B$11+N20&gt;=30,30,$B$11+N20&gt;=20,20)</f>
        <v>40</v>
      </c>
      <c r="P21" cm="1">
        <f t="array" ref="P21">_xlfn.IFS($B$11+O20 &gt;= 200,200,$B$11+O20 &gt;=100,100,$B$11+O20&gt;=90,90,$B$11+O20&gt;=80,80,$B$11+O20&gt;=70,70,$B$11+O20&gt;=60,60,$B$11+O20&gt;=50,50,$B$11+O20&gt;=40,40,$B$11+O20&gt;=30,30,$B$11+O20&gt;=20,20)</f>
        <v>40</v>
      </c>
      <c r="Q21" cm="1">
        <f t="array" ref="Q21">_xlfn.IFS($B$11+P20 &gt;= 200,200,$B$11+P20 &gt;=100,100,$B$11+P20&gt;=90,90,$B$11+P20&gt;=80,80,$B$11+P20&gt;=70,70,$B$11+P20&gt;=60,60,$B$11+P20&gt;=50,50,$B$11+P20&gt;=40,40,$B$11+P20&gt;=30,30,$B$11+P20&gt;=20,20)</f>
        <v>50</v>
      </c>
      <c r="R21" cm="1">
        <f t="array" ref="R21">_xlfn.IFS($B$11+Q20 &gt;= 200,200,$B$11+Q20 &gt;=100,100,$B$11+Q20&gt;=90,90,$B$11+Q20&gt;=80,80,$B$11+Q20&gt;=70,70,$B$11+Q20&gt;=60,60,$B$11+Q20&gt;=50,50,$B$11+Q20&gt;=40,40,$B$11+Q20&gt;=30,30,$B$11+Q20&gt;=20,20)</f>
        <v>50</v>
      </c>
      <c r="S21" cm="1">
        <f t="array" ref="S21">_xlfn.IFS($B$11+R20 &gt;= 200,200,$B$11+R20 &gt;=100,100,$B$11+R20&gt;=90,90,$B$11+R20&gt;=80,80,$B$11+R20&gt;=70,70,$B$11+R20&gt;=60,60,$B$11+R20&gt;=50,50,$B$11+R20&gt;=40,40,$B$11+R20&gt;=30,30,$B$11+R20&gt;=20,20)</f>
        <v>50</v>
      </c>
      <c r="T21" cm="1">
        <f t="array" ref="T21">_xlfn.IFS($B$11+S20 &gt;= 200,200,$B$11+S20 &gt;=100,100,$B$11+S20&gt;=90,90,$B$11+S20&gt;=80,80,$B$11+S20&gt;=70,70,$B$11+S20&gt;=60,60,$B$11+S20&gt;=50,50,$B$11+S20&gt;=40,40,$B$11+S20&gt;=30,30,$B$11+S20&gt;=20,20)</f>
        <v>50</v>
      </c>
      <c r="U21" cm="1">
        <f t="array" ref="U21">_xlfn.IFS($B$11+T20 &gt;= 200,200,$B$11+T20 &gt;=100,100,$B$11+T20&gt;=90,90,$B$11+T20&gt;=80,80,$B$11+T20&gt;=70,70,$B$11+T20&gt;=60,60,$B$11+T20&gt;=50,50,$B$11+T20&gt;=40,40,$B$11+T20&gt;=30,30,$B$11+T20&gt;=20,20)</f>
        <v>50</v>
      </c>
      <c r="V21" cm="1">
        <f t="array" ref="V21">_xlfn.IFS($B$11+U20 &gt;= 200,200,$B$11+U20 &gt;=100,100,$B$11+U20&gt;=90,90,$B$11+U20&gt;=80,80,$B$11+U20&gt;=70,70,$B$11+U20&gt;=60,60,$B$11+U20&gt;=50,50,$B$11+U20&gt;=40,40,$B$11+U20&gt;=30,30,$B$11+U20&gt;=20,20)</f>
        <v>50</v>
      </c>
      <c r="W21" cm="1">
        <f t="array" ref="W21">_xlfn.IFS($B$11+V20 &gt;= 200,200,$B$11+V20 &gt;=100,100,$B$11+V20&gt;=90,90,$B$11+V20&gt;=80,80,$B$11+V20&gt;=70,70,$B$11+V20&gt;=60,60,$B$11+V20&gt;=50,50,$B$11+V20&gt;=40,40,$B$11+V20&gt;=30,30,$B$11+V20&gt;=20,20)</f>
        <v>50</v>
      </c>
      <c r="X21" cm="1">
        <f t="array" ref="X21">_xlfn.IFS($B$11+W20 &gt;= 200,200,$B$11+W20 &gt;=100,100,$B$11+W20&gt;=90,90,$B$11+W20&gt;=80,80,$B$11+W20&gt;=70,70,$B$11+W20&gt;=60,60,$B$11+W20&gt;=50,50,$B$11+W20&gt;=40,40,$B$11+W20&gt;=30,30,$B$11+W20&gt;=20,20)</f>
        <v>50</v>
      </c>
      <c r="Y21" cm="1">
        <f t="array" ref="Y21">_xlfn.IFS($B$11+X20 &gt;= 200,200,$B$11+X20 &gt;=100,100,$B$11+X20&gt;=90,90,$B$11+X20&gt;=80,80,$B$11+X20&gt;=70,70,$B$11+X20&gt;=60,60,$B$11+X20&gt;=50,50,$B$11+X20&gt;=40,40,$B$11+X20&gt;=30,30,$B$11+X20&gt;=20,20)</f>
        <v>50</v>
      </c>
      <c r="Z21" cm="1">
        <f t="array" ref="Z21">_xlfn.IFS($B$11+Y20 &gt;= 200,200,$B$11+Y20 &gt;=100,100,$B$11+Y20&gt;=90,90,$B$11+Y20&gt;=80,80,$B$11+Y20&gt;=70,70,$B$11+Y20&gt;=60,60,$B$11+Y20&gt;=50,50,$B$11+Y20&gt;=40,40,$B$11+Y20&gt;=30,30,$B$11+Y20&gt;=20,20)</f>
        <v>50</v>
      </c>
    </row>
    <row r="22" spans="1:26" x14ac:dyDescent="0.3">
      <c r="A22" s="5" t="s">
        <v>12</v>
      </c>
      <c r="B22">
        <f>IF(AND($B$12="Healthy",B21&lt;70),HLOOKUP(B21,$A$1:$F$5,IF($B$10="M",2,3),FALSE)*$B$13,IF(AND($B$12="Unhealthy",B21&lt;70),HLOOKUP($B$21,$A$1:$F$5,IF($B$10="M",4,5),FALSE)*$B$13,0))</f>
        <v>5.5350000000000001</v>
      </c>
      <c r="C22">
        <f>IF(AND($B$12="Healthy",C21&lt;70),HLOOKUP(C21,$A$1:$F$5,IF($B$10="M",2,3),FALSE)*$B$13,IF(AND($B$12="Unhealthy",C21&lt;70),HLOOKUP($B$21,$A$1:$F$5,IF($B$10="M",4,5),FALSE)*$B$13,0))</f>
        <v>5.5350000000000001</v>
      </c>
      <c r="D22">
        <f t="shared" ref="D22:Z22" si="3">IF(AND($B$12="Healthy",D21&lt;70),HLOOKUP(D21,$A$1:$F$5,IF($B$10="M",2,3),FALSE)*$B$13,IF(AND($B$12="Unhealthy",D21&lt;70),HLOOKUP($B$21,$A$1:$F$5,IF($B$10="M",4,5),FALSE)*$B$13,0))</f>
        <v>5.5350000000000001</v>
      </c>
      <c r="E22">
        <f t="shared" si="3"/>
        <v>5.5350000000000001</v>
      </c>
      <c r="F22">
        <f t="shared" si="3"/>
        <v>5.5350000000000001</v>
      </c>
      <c r="G22">
        <f t="shared" si="3"/>
        <v>11.07</v>
      </c>
      <c r="H22">
        <f t="shared" si="3"/>
        <v>11.07</v>
      </c>
      <c r="I22">
        <f t="shared" si="3"/>
        <v>11.07</v>
      </c>
      <c r="J22">
        <f t="shared" si="3"/>
        <v>11.07</v>
      </c>
      <c r="K22">
        <f t="shared" si="3"/>
        <v>11.07</v>
      </c>
      <c r="L22">
        <f t="shared" si="3"/>
        <v>11.07</v>
      </c>
      <c r="M22">
        <f t="shared" si="3"/>
        <v>11.07</v>
      </c>
      <c r="N22">
        <f t="shared" si="3"/>
        <v>11.07</v>
      </c>
      <c r="O22">
        <f t="shared" si="3"/>
        <v>11.07</v>
      </c>
      <c r="P22">
        <f t="shared" si="3"/>
        <v>11.07</v>
      </c>
      <c r="Q22">
        <f t="shared" si="3"/>
        <v>18.450000000000003</v>
      </c>
      <c r="R22">
        <f t="shared" si="3"/>
        <v>18.450000000000003</v>
      </c>
      <c r="S22">
        <f t="shared" si="3"/>
        <v>18.450000000000003</v>
      </c>
      <c r="T22">
        <f t="shared" si="3"/>
        <v>18.450000000000003</v>
      </c>
      <c r="U22">
        <f t="shared" si="3"/>
        <v>18.450000000000003</v>
      </c>
      <c r="V22">
        <f t="shared" si="3"/>
        <v>18.450000000000003</v>
      </c>
      <c r="W22">
        <f t="shared" si="3"/>
        <v>18.450000000000003</v>
      </c>
      <c r="X22">
        <f t="shared" si="3"/>
        <v>18.450000000000003</v>
      </c>
      <c r="Y22">
        <f t="shared" si="3"/>
        <v>18.450000000000003</v>
      </c>
      <c r="Z22">
        <f t="shared" si="3"/>
        <v>18.450000000000003</v>
      </c>
    </row>
    <row r="24" spans="1:26" x14ac:dyDescent="0.3">
      <c r="A24" s="12" t="s">
        <v>116</v>
      </c>
      <c r="B24">
        <f>SUM(B22:Z22)</f>
        <v>322.87499999999989</v>
      </c>
    </row>
  </sheetData>
  <conditionalFormatting sqref="B22:Z22">
    <cfRule type="cellIs" dxfId="0" priority="1" operator="equal">
      <formula>0</formula>
    </cfRule>
  </conditionalFormatting>
  <dataValidations count="3">
    <dataValidation type="list" allowBlank="1" showInputMessage="1" showErrorMessage="1" sqref="B10" xr:uid="{276EB0DE-9C99-4147-905E-096BBC98FA02}">
      <formula1>"M,F"</formula1>
    </dataValidation>
    <dataValidation type="list" allowBlank="1" showInputMessage="1" showErrorMessage="1" sqref="B12" xr:uid="{AEB384AA-BAA6-864C-8EAC-F1E53085067F}">
      <formula1>"Healthy,Unhealthy"</formula1>
    </dataValidation>
    <dataValidation type="whole" allowBlank="1" showInputMessage="1" showErrorMessage="1" sqref="B11" xr:uid="{67532B1A-80AE-4346-85B3-22D31752B5FE}">
      <formula1>20</formula1>
      <formula2>69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38F0-8F5E-9F4B-A909-FB043C97EE4B}">
  <sheetPr codeName="Sheet2"/>
  <dimension ref="A1:E101"/>
  <sheetViews>
    <sheetView workbookViewId="0">
      <selection activeCell="F19" sqref="F19"/>
    </sheetView>
  </sheetViews>
  <sheetFormatPr defaultColWidth="11.19921875" defaultRowHeight="15.6" x14ac:dyDescent="0.3"/>
  <cols>
    <col min="1" max="1" width="15.5" bestFit="1" customWidth="1"/>
    <col min="5" max="5" width="19.69921875" bestFit="1" customWidth="1"/>
  </cols>
  <sheetData>
    <row r="1" spans="1:5" x14ac:dyDescent="0.3">
      <c r="A1" s="10" t="s">
        <v>13</v>
      </c>
      <c r="B1" s="10" t="s">
        <v>7</v>
      </c>
      <c r="C1" s="10" t="s">
        <v>2</v>
      </c>
      <c r="D1" s="10" t="s">
        <v>14</v>
      </c>
      <c r="E1" s="10" t="s">
        <v>117</v>
      </c>
    </row>
    <row r="2" spans="1:5" x14ac:dyDescent="0.3">
      <c r="A2" t="s">
        <v>15</v>
      </c>
      <c r="B2" t="s">
        <v>3</v>
      </c>
      <c r="C2">
        <v>63</v>
      </c>
      <c r="D2">
        <v>1</v>
      </c>
      <c r="E2">
        <v>309.96000000000004</v>
      </c>
    </row>
    <row r="3" spans="1:5" x14ac:dyDescent="0.3">
      <c r="A3" t="s">
        <v>16</v>
      </c>
      <c r="B3" t="s">
        <v>1</v>
      </c>
      <c r="C3">
        <v>67</v>
      </c>
      <c r="D3">
        <v>2</v>
      </c>
      <c r="E3">
        <v>164.88</v>
      </c>
    </row>
    <row r="4" spans="1:5" x14ac:dyDescent="0.3">
      <c r="A4" t="s">
        <v>17</v>
      </c>
      <c r="B4" t="s">
        <v>3</v>
      </c>
      <c r="C4">
        <v>59</v>
      </c>
      <c r="D4">
        <v>1</v>
      </c>
      <c r="E4">
        <v>304.42500000000007</v>
      </c>
    </row>
    <row r="5" spans="1:5" x14ac:dyDescent="0.3">
      <c r="A5" t="s">
        <v>18</v>
      </c>
      <c r="B5" t="s">
        <v>1</v>
      </c>
      <c r="C5">
        <v>36</v>
      </c>
      <c r="D5">
        <v>1</v>
      </c>
      <c r="E5">
        <v>386.43749999999989</v>
      </c>
    </row>
    <row r="6" spans="1:5" x14ac:dyDescent="0.3">
      <c r="A6" t="s">
        <v>19</v>
      </c>
      <c r="B6" t="s">
        <v>3</v>
      </c>
      <c r="C6">
        <v>54</v>
      </c>
      <c r="D6">
        <v>2</v>
      </c>
      <c r="E6">
        <v>405.9</v>
      </c>
    </row>
    <row r="7" spans="1:5" x14ac:dyDescent="0.3">
      <c r="A7" t="s">
        <v>20</v>
      </c>
      <c r="B7" t="s">
        <v>1</v>
      </c>
      <c r="C7">
        <v>23</v>
      </c>
      <c r="D7">
        <v>1</v>
      </c>
      <c r="E7">
        <v>257.62500000000011</v>
      </c>
    </row>
    <row r="8" spans="1:5" x14ac:dyDescent="0.3">
      <c r="A8" t="s">
        <v>21</v>
      </c>
      <c r="B8" t="s">
        <v>1</v>
      </c>
      <c r="C8">
        <v>46</v>
      </c>
      <c r="D8">
        <v>2</v>
      </c>
      <c r="E8">
        <v>975.5400000000003</v>
      </c>
    </row>
    <row r="9" spans="1:5" x14ac:dyDescent="0.3">
      <c r="A9" t="s">
        <v>22</v>
      </c>
      <c r="B9" t="s">
        <v>3</v>
      </c>
      <c r="C9">
        <v>49</v>
      </c>
      <c r="D9">
        <v>2</v>
      </c>
      <c r="E9">
        <v>490.76999999999987</v>
      </c>
    </row>
    <row r="10" spans="1:5" x14ac:dyDescent="0.3">
      <c r="A10" t="s">
        <v>23</v>
      </c>
      <c r="B10" t="s">
        <v>3</v>
      </c>
      <c r="C10">
        <v>61</v>
      </c>
      <c r="D10">
        <v>2</v>
      </c>
      <c r="E10">
        <v>265.68</v>
      </c>
    </row>
    <row r="11" spans="1:5" x14ac:dyDescent="0.3">
      <c r="A11" t="s">
        <v>24</v>
      </c>
      <c r="B11" t="s">
        <v>3</v>
      </c>
      <c r="C11">
        <v>67</v>
      </c>
      <c r="D11">
        <v>1</v>
      </c>
      <c r="E11">
        <v>132.84</v>
      </c>
    </row>
    <row r="12" spans="1:5" x14ac:dyDescent="0.3">
      <c r="A12" t="s">
        <v>25</v>
      </c>
      <c r="B12" t="s">
        <v>1</v>
      </c>
      <c r="C12">
        <v>21</v>
      </c>
      <c r="D12">
        <v>1</v>
      </c>
      <c r="E12">
        <v>257.62500000000011</v>
      </c>
    </row>
    <row r="13" spans="1:5" x14ac:dyDescent="0.3">
      <c r="A13" t="s">
        <v>26</v>
      </c>
      <c r="B13" t="s">
        <v>1</v>
      </c>
      <c r="C13">
        <v>41</v>
      </c>
      <c r="D13">
        <v>1</v>
      </c>
      <c r="E13">
        <v>772.87499999999977</v>
      </c>
    </row>
    <row r="14" spans="1:5" x14ac:dyDescent="0.3">
      <c r="A14" t="s">
        <v>27</v>
      </c>
      <c r="B14" t="s">
        <v>3</v>
      </c>
      <c r="C14">
        <v>32</v>
      </c>
      <c r="D14">
        <v>1</v>
      </c>
      <c r="E14">
        <v>207.56250000000006</v>
      </c>
    </row>
    <row r="15" spans="1:5" x14ac:dyDescent="0.3">
      <c r="A15" t="s">
        <v>28</v>
      </c>
      <c r="B15" t="s">
        <v>3</v>
      </c>
      <c r="C15">
        <v>43</v>
      </c>
      <c r="D15">
        <v>1</v>
      </c>
      <c r="E15">
        <v>415.12500000000011</v>
      </c>
    </row>
    <row r="16" spans="1:5" x14ac:dyDescent="0.3">
      <c r="A16" t="s">
        <v>29</v>
      </c>
      <c r="B16" t="s">
        <v>3</v>
      </c>
      <c r="C16">
        <v>55</v>
      </c>
      <c r="D16">
        <v>1</v>
      </c>
      <c r="E16">
        <v>415.12500000000011</v>
      </c>
    </row>
    <row r="17" spans="1:5" x14ac:dyDescent="0.3">
      <c r="A17" t="s">
        <v>30</v>
      </c>
      <c r="B17" t="s">
        <v>1</v>
      </c>
      <c r="C17">
        <v>41</v>
      </c>
      <c r="D17">
        <v>2</v>
      </c>
      <c r="E17">
        <v>858.75000000000034</v>
      </c>
    </row>
    <row r="18" spans="1:5" x14ac:dyDescent="0.3">
      <c r="A18" t="s">
        <v>31</v>
      </c>
      <c r="B18" t="s">
        <v>1</v>
      </c>
      <c r="C18">
        <v>64</v>
      </c>
      <c r="D18">
        <v>1</v>
      </c>
      <c r="E18">
        <v>494.64</v>
      </c>
    </row>
    <row r="19" spans="1:5" x14ac:dyDescent="0.3">
      <c r="A19" t="s">
        <v>32</v>
      </c>
      <c r="B19" t="s">
        <v>3</v>
      </c>
      <c r="C19">
        <v>50</v>
      </c>
      <c r="D19">
        <v>2</v>
      </c>
      <c r="E19">
        <v>479.69999999999987</v>
      </c>
    </row>
    <row r="20" spans="1:5" x14ac:dyDescent="0.3">
      <c r="A20" t="s">
        <v>33</v>
      </c>
      <c r="B20" t="s">
        <v>3</v>
      </c>
      <c r="C20">
        <v>28</v>
      </c>
      <c r="D20">
        <v>1</v>
      </c>
      <c r="E20">
        <v>138.37499999999994</v>
      </c>
    </row>
    <row r="21" spans="1:5" x14ac:dyDescent="0.3">
      <c r="A21" t="s">
        <v>34</v>
      </c>
      <c r="B21" t="s">
        <v>3</v>
      </c>
      <c r="C21">
        <v>40</v>
      </c>
      <c r="D21">
        <v>2</v>
      </c>
      <c r="E21">
        <v>442.79999999999978</v>
      </c>
    </row>
    <row r="22" spans="1:5" x14ac:dyDescent="0.3">
      <c r="A22" t="s">
        <v>35</v>
      </c>
      <c r="B22" t="s">
        <v>3</v>
      </c>
      <c r="C22">
        <v>44</v>
      </c>
      <c r="D22">
        <v>1</v>
      </c>
      <c r="E22">
        <v>415.12500000000011</v>
      </c>
    </row>
    <row r="23" spans="1:5" x14ac:dyDescent="0.3">
      <c r="A23" t="s">
        <v>36</v>
      </c>
      <c r="B23" t="s">
        <v>1</v>
      </c>
      <c r="C23">
        <v>28</v>
      </c>
      <c r="D23">
        <v>1</v>
      </c>
      <c r="E23">
        <v>257.62500000000011</v>
      </c>
    </row>
    <row r="24" spans="1:5" x14ac:dyDescent="0.3">
      <c r="A24" t="s">
        <v>37</v>
      </c>
      <c r="B24" t="s">
        <v>3</v>
      </c>
      <c r="C24">
        <v>43</v>
      </c>
      <c r="D24">
        <v>1</v>
      </c>
      <c r="E24">
        <v>415.12500000000011</v>
      </c>
    </row>
    <row r="25" spans="1:5" x14ac:dyDescent="0.3">
      <c r="A25" t="s">
        <v>38</v>
      </c>
      <c r="B25" t="s">
        <v>1</v>
      </c>
      <c r="C25">
        <v>68</v>
      </c>
      <c r="D25">
        <v>2</v>
      </c>
      <c r="E25">
        <v>109.92</v>
      </c>
    </row>
    <row r="26" spans="1:5" x14ac:dyDescent="0.3">
      <c r="A26" t="s">
        <v>39</v>
      </c>
      <c r="B26" t="s">
        <v>1</v>
      </c>
      <c r="C26">
        <v>38</v>
      </c>
      <c r="D26">
        <v>1</v>
      </c>
      <c r="E26">
        <v>386.43749999999989</v>
      </c>
    </row>
    <row r="27" spans="1:5" x14ac:dyDescent="0.3">
      <c r="A27" t="s">
        <v>40</v>
      </c>
      <c r="B27" t="s">
        <v>3</v>
      </c>
      <c r="C27">
        <v>57</v>
      </c>
      <c r="D27">
        <v>2</v>
      </c>
      <c r="E27">
        <v>350.54999999999995</v>
      </c>
    </row>
    <row r="28" spans="1:5" x14ac:dyDescent="0.3">
      <c r="A28" t="s">
        <v>41</v>
      </c>
      <c r="B28" t="s">
        <v>1</v>
      </c>
      <c r="C28">
        <v>46</v>
      </c>
      <c r="D28">
        <v>1</v>
      </c>
      <c r="E28">
        <v>741.95999999999981</v>
      </c>
    </row>
    <row r="29" spans="1:5" x14ac:dyDescent="0.3">
      <c r="A29" t="s">
        <v>42</v>
      </c>
      <c r="B29" t="s">
        <v>3</v>
      </c>
      <c r="C29">
        <v>48</v>
      </c>
      <c r="D29">
        <v>1</v>
      </c>
      <c r="E29">
        <v>365.31000000000006</v>
      </c>
    </row>
    <row r="30" spans="1:5" x14ac:dyDescent="0.3">
      <c r="A30" t="s">
        <v>43</v>
      </c>
      <c r="B30" t="s">
        <v>3</v>
      </c>
      <c r="C30">
        <v>64</v>
      </c>
      <c r="D30">
        <v>1</v>
      </c>
      <c r="E30">
        <v>265.68</v>
      </c>
    </row>
    <row r="31" spans="1:5" x14ac:dyDescent="0.3">
      <c r="A31" t="s">
        <v>44</v>
      </c>
      <c r="B31" t="s">
        <v>1</v>
      </c>
      <c r="C31">
        <v>35</v>
      </c>
      <c r="D31">
        <v>2</v>
      </c>
      <c r="E31">
        <v>601.12500000000023</v>
      </c>
    </row>
    <row r="32" spans="1:5" x14ac:dyDescent="0.3">
      <c r="A32" t="s">
        <v>45</v>
      </c>
      <c r="B32" t="s">
        <v>1</v>
      </c>
      <c r="C32">
        <v>48</v>
      </c>
      <c r="D32">
        <v>1</v>
      </c>
      <c r="E32">
        <v>680.12999999999988</v>
      </c>
    </row>
    <row r="33" spans="1:5" x14ac:dyDescent="0.3">
      <c r="A33" t="s">
        <v>46</v>
      </c>
      <c r="B33" t="s">
        <v>1</v>
      </c>
      <c r="C33">
        <v>58</v>
      </c>
      <c r="D33">
        <v>2</v>
      </c>
      <c r="E33">
        <v>618.29999999999995</v>
      </c>
    </row>
    <row r="34" spans="1:5" x14ac:dyDescent="0.3">
      <c r="A34" t="s">
        <v>47</v>
      </c>
      <c r="B34" t="s">
        <v>1</v>
      </c>
      <c r="C34">
        <v>44</v>
      </c>
      <c r="D34">
        <v>2</v>
      </c>
      <c r="E34">
        <v>961.80000000000041</v>
      </c>
    </row>
    <row r="35" spans="1:5" x14ac:dyDescent="0.3">
      <c r="A35" t="s">
        <v>48</v>
      </c>
      <c r="B35" t="s">
        <v>3</v>
      </c>
      <c r="C35">
        <v>23</v>
      </c>
      <c r="D35">
        <v>2</v>
      </c>
      <c r="E35">
        <v>169.73999999999992</v>
      </c>
    </row>
    <row r="36" spans="1:5" x14ac:dyDescent="0.3">
      <c r="A36" t="s">
        <v>49</v>
      </c>
      <c r="B36" t="s">
        <v>1</v>
      </c>
      <c r="C36">
        <v>60</v>
      </c>
      <c r="D36">
        <v>2</v>
      </c>
      <c r="E36">
        <v>549.59999999999991</v>
      </c>
    </row>
    <row r="37" spans="1:5" x14ac:dyDescent="0.3">
      <c r="A37" t="s">
        <v>50</v>
      </c>
      <c r="B37" t="s">
        <v>1</v>
      </c>
      <c r="C37">
        <v>37</v>
      </c>
      <c r="D37">
        <v>1</v>
      </c>
      <c r="E37">
        <v>386.43749999999989</v>
      </c>
    </row>
    <row r="38" spans="1:5" x14ac:dyDescent="0.3">
      <c r="A38" t="s">
        <v>51</v>
      </c>
      <c r="B38" t="s">
        <v>1</v>
      </c>
      <c r="C38">
        <v>65</v>
      </c>
      <c r="D38">
        <v>1</v>
      </c>
      <c r="E38">
        <v>412.2</v>
      </c>
    </row>
    <row r="39" spans="1:5" x14ac:dyDescent="0.3">
      <c r="A39" t="s">
        <v>52</v>
      </c>
      <c r="B39" t="s">
        <v>3</v>
      </c>
      <c r="C39">
        <v>41</v>
      </c>
      <c r="D39">
        <v>1</v>
      </c>
      <c r="E39">
        <v>415.12500000000011</v>
      </c>
    </row>
    <row r="40" spans="1:5" x14ac:dyDescent="0.3">
      <c r="A40" t="s">
        <v>53</v>
      </c>
      <c r="B40" t="s">
        <v>3</v>
      </c>
      <c r="C40">
        <v>46</v>
      </c>
      <c r="D40">
        <v>2</v>
      </c>
      <c r="E40">
        <v>523.97999999999979</v>
      </c>
    </row>
    <row r="41" spans="1:5" x14ac:dyDescent="0.3">
      <c r="A41" t="s">
        <v>54</v>
      </c>
      <c r="B41" t="s">
        <v>1</v>
      </c>
      <c r="C41">
        <v>24</v>
      </c>
      <c r="D41">
        <v>2</v>
      </c>
      <c r="E41">
        <v>329.76000000000016</v>
      </c>
    </row>
    <row r="42" spans="1:5" x14ac:dyDescent="0.3">
      <c r="A42" t="s">
        <v>55</v>
      </c>
      <c r="B42" t="s">
        <v>1</v>
      </c>
      <c r="C42">
        <v>29</v>
      </c>
      <c r="D42">
        <v>1</v>
      </c>
      <c r="E42">
        <v>257.62500000000011</v>
      </c>
    </row>
    <row r="43" spans="1:5" x14ac:dyDescent="0.3">
      <c r="A43" t="s">
        <v>56</v>
      </c>
      <c r="B43" t="s">
        <v>1</v>
      </c>
      <c r="C43">
        <v>22</v>
      </c>
      <c r="D43">
        <v>2</v>
      </c>
      <c r="E43">
        <v>302.28000000000014</v>
      </c>
    </row>
    <row r="44" spans="1:5" x14ac:dyDescent="0.3">
      <c r="A44" t="s">
        <v>57</v>
      </c>
      <c r="B44" t="s">
        <v>1</v>
      </c>
      <c r="C44">
        <v>49</v>
      </c>
      <c r="D44">
        <v>1</v>
      </c>
      <c r="E44">
        <v>649.21499999999992</v>
      </c>
    </row>
    <row r="45" spans="1:5" x14ac:dyDescent="0.3">
      <c r="A45" t="s">
        <v>58</v>
      </c>
      <c r="B45" t="s">
        <v>1</v>
      </c>
      <c r="C45">
        <v>51</v>
      </c>
      <c r="D45">
        <v>2</v>
      </c>
      <c r="E45">
        <v>858.75000000000023</v>
      </c>
    </row>
    <row r="46" spans="1:5" x14ac:dyDescent="0.3">
      <c r="A46" t="s">
        <v>59</v>
      </c>
      <c r="B46" t="s">
        <v>3</v>
      </c>
      <c r="C46">
        <v>32</v>
      </c>
      <c r="D46">
        <v>1</v>
      </c>
      <c r="E46">
        <v>207.56250000000006</v>
      </c>
    </row>
    <row r="47" spans="1:5" x14ac:dyDescent="0.3">
      <c r="A47" t="s">
        <v>60</v>
      </c>
      <c r="B47" t="s">
        <v>3</v>
      </c>
      <c r="C47">
        <v>64</v>
      </c>
      <c r="D47">
        <v>1</v>
      </c>
      <c r="E47">
        <v>265.68</v>
      </c>
    </row>
    <row r="48" spans="1:5" x14ac:dyDescent="0.3">
      <c r="A48" t="s">
        <v>61</v>
      </c>
      <c r="B48" t="s">
        <v>3</v>
      </c>
      <c r="C48">
        <v>32</v>
      </c>
      <c r="D48">
        <v>2</v>
      </c>
      <c r="E48">
        <v>284.12999999999988</v>
      </c>
    </row>
    <row r="49" spans="1:5" x14ac:dyDescent="0.3">
      <c r="A49" t="s">
        <v>62</v>
      </c>
      <c r="B49" t="s">
        <v>1</v>
      </c>
      <c r="C49">
        <v>51</v>
      </c>
      <c r="D49">
        <v>1</v>
      </c>
      <c r="E49">
        <v>978.97499999999968</v>
      </c>
    </row>
    <row r="50" spans="1:5" x14ac:dyDescent="0.3">
      <c r="A50" t="s">
        <v>63</v>
      </c>
      <c r="B50" t="s">
        <v>3</v>
      </c>
      <c r="C50">
        <v>49</v>
      </c>
      <c r="D50">
        <v>2</v>
      </c>
      <c r="E50">
        <v>490.76999999999987</v>
      </c>
    </row>
    <row r="51" spans="1:5" x14ac:dyDescent="0.3">
      <c r="A51" t="s">
        <v>64</v>
      </c>
      <c r="B51" t="s">
        <v>1</v>
      </c>
      <c r="C51">
        <v>50</v>
      </c>
      <c r="D51">
        <v>1</v>
      </c>
      <c r="E51">
        <v>1030.4999999999998</v>
      </c>
    </row>
    <row r="52" spans="1:5" x14ac:dyDescent="0.3">
      <c r="A52" t="s">
        <v>65</v>
      </c>
      <c r="B52" t="s">
        <v>1</v>
      </c>
      <c r="C52">
        <v>65</v>
      </c>
      <c r="D52">
        <v>1</v>
      </c>
      <c r="E52">
        <v>412.2</v>
      </c>
    </row>
    <row r="53" spans="1:5" x14ac:dyDescent="0.3">
      <c r="A53" t="s">
        <v>66</v>
      </c>
      <c r="B53" t="s">
        <v>3</v>
      </c>
      <c r="C53">
        <v>48</v>
      </c>
      <c r="D53">
        <v>2</v>
      </c>
      <c r="E53">
        <v>501.83999999999986</v>
      </c>
    </row>
    <row r="54" spans="1:5" x14ac:dyDescent="0.3">
      <c r="A54" t="s">
        <v>67</v>
      </c>
      <c r="B54" t="s">
        <v>3</v>
      </c>
      <c r="C54">
        <v>54</v>
      </c>
      <c r="D54">
        <v>2</v>
      </c>
      <c r="E54">
        <v>405.9</v>
      </c>
    </row>
    <row r="55" spans="1:5" x14ac:dyDescent="0.3">
      <c r="A55" t="s">
        <v>68</v>
      </c>
      <c r="B55" t="s">
        <v>1</v>
      </c>
      <c r="C55">
        <v>31</v>
      </c>
      <c r="D55">
        <v>2</v>
      </c>
      <c r="E55">
        <v>504.94500000000022</v>
      </c>
    </row>
    <row r="56" spans="1:5" x14ac:dyDescent="0.3">
      <c r="A56" t="s">
        <v>69</v>
      </c>
      <c r="B56" t="s">
        <v>1</v>
      </c>
      <c r="C56">
        <v>36</v>
      </c>
      <c r="D56">
        <v>2</v>
      </c>
      <c r="E56">
        <v>645.78000000000031</v>
      </c>
    </row>
    <row r="57" spans="1:5" x14ac:dyDescent="0.3">
      <c r="A57" t="s">
        <v>70</v>
      </c>
      <c r="B57" t="s">
        <v>1</v>
      </c>
      <c r="C57">
        <v>54</v>
      </c>
      <c r="D57">
        <v>1</v>
      </c>
      <c r="E57">
        <v>824.39999999999975</v>
      </c>
    </row>
    <row r="58" spans="1:5" x14ac:dyDescent="0.3">
      <c r="A58" t="s">
        <v>71</v>
      </c>
      <c r="B58" t="s">
        <v>3</v>
      </c>
      <c r="C58">
        <v>47</v>
      </c>
      <c r="D58">
        <v>2</v>
      </c>
      <c r="E58">
        <v>512.90999999999985</v>
      </c>
    </row>
    <row r="59" spans="1:5" x14ac:dyDescent="0.3">
      <c r="A59" t="s">
        <v>72</v>
      </c>
      <c r="B59" t="s">
        <v>1</v>
      </c>
      <c r="C59">
        <v>50</v>
      </c>
      <c r="D59">
        <v>1</v>
      </c>
      <c r="E59">
        <v>1030.4999999999998</v>
      </c>
    </row>
    <row r="60" spans="1:5" x14ac:dyDescent="0.3">
      <c r="A60" t="s">
        <v>73</v>
      </c>
      <c r="B60" t="s">
        <v>3</v>
      </c>
      <c r="C60">
        <v>50</v>
      </c>
      <c r="D60">
        <v>2</v>
      </c>
      <c r="E60">
        <v>479.69999999999987</v>
      </c>
    </row>
    <row r="61" spans="1:5" x14ac:dyDescent="0.3">
      <c r="A61" t="s">
        <v>74</v>
      </c>
      <c r="B61" t="s">
        <v>1</v>
      </c>
      <c r="C61">
        <v>45</v>
      </c>
      <c r="D61">
        <v>1</v>
      </c>
      <c r="E61">
        <v>772.87499999999977</v>
      </c>
    </row>
    <row r="62" spans="1:5" x14ac:dyDescent="0.3">
      <c r="A62" t="s">
        <v>75</v>
      </c>
      <c r="B62" t="s">
        <v>1</v>
      </c>
      <c r="C62">
        <v>23</v>
      </c>
      <c r="D62">
        <v>1</v>
      </c>
      <c r="E62">
        <v>257.62500000000011</v>
      </c>
    </row>
    <row r="63" spans="1:5" x14ac:dyDescent="0.3">
      <c r="A63" t="s">
        <v>76</v>
      </c>
      <c r="B63" t="s">
        <v>3</v>
      </c>
      <c r="C63">
        <v>29</v>
      </c>
      <c r="D63">
        <v>2</v>
      </c>
      <c r="E63">
        <v>243.53999999999991</v>
      </c>
    </row>
    <row r="64" spans="1:5" x14ac:dyDescent="0.3">
      <c r="A64" t="s">
        <v>77</v>
      </c>
      <c r="B64" t="s">
        <v>1</v>
      </c>
      <c r="C64">
        <v>26</v>
      </c>
      <c r="D64">
        <v>1</v>
      </c>
      <c r="E64">
        <v>257.62500000000011</v>
      </c>
    </row>
    <row r="65" spans="1:5" x14ac:dyDescent="0.3">
      <c r="A65" t="s">
        <v>78</v>
      </c>
      <c r="B65" t="s">
        <v>3</v>
      </c>
      <c r="C65">
        <v>44</v>
      </c>
      <c r="D65">
        <v>2</v>
      </c>
      <c r="E65">
        <v>516.5999999999998</v>
      </c>
    </row>
    <row r="66" spans="1:5" x14ac:dyDescent="0.3">
      <c r="A66" t="s">
        <v>79</v>
      </c>
      <c r="B66" t="s">
        <v>1</v>
      </c>
      <c r="C66">
        <v>51</v>
      </c>
      <c r="D66">
        <v>1</v>
      </c>
      <c r="E66">
        <v>978.97499999999968</v>
      </c>
    </row>
    <row r="67" spans="1:5" x14ac:dyDescent="0.3">
      <c r="A67" t="s">
        <v>80</v>
      </c>
      <c r="B67" t="s">
        <v>1</v>
      </c>
      <c r="C67">
        <v>66</v>
      </c>
      <c r="D67">
        <v>1</v>
      </c>
      <c r="E67">
        <v>329.76</v>
      </c>
    </row>
    <row r="68" spans="1:5" x14ac:dyDescent="0.3">
      <c r="A68" t="s">
        <v>81</v>
      </c>
      <c r="B68" t="s">
        <v>3</v>
      </c>
      <c r="C68">
        <v>59</v>
      </c>
      <c r="D68">
        <v>2</v>
      </c>
      <c r="E68">
        <v>313.65000000000003</v>
      </c>
    </row>
    <row r="69" spans="1:5" x14ac:dyDescent="0.3">
      <c r="A69" t="s">
        <v>82</v>
      </c>
      <c r="B69" t="s">
        <v>1</v>
      </c>
      <c r="C69">
        <v>58</v>
      </c>
      <c r="D69">
        <v>2</v>
      </c>
      <c r="E69">
        <v>618.29999999999995</v>
      </c>
    </row>
    <row r="70" spans="1:5" x14ac:dyDescent="0.3">
      <c r="A70" t="s">
        <v>83</v>
      </c>
      <c r="B70" t="s">
        <v>1</v>
      </c>
      <c r="C70">
        <v>51</v>
      </c>
      <c r="D70">
        <v>1</v>
      </c>
      <c r="E70">
        <v>978.97499999999968</v>
      </c>
    </row>
    <row r="71" spans="1:5" x14ac:dyDescent="0.3">
      <c r="A71" t="s">
        <v>84</v>
      </c>
      <c r="B71" t="s">
        <v>1</v>
      </c>
      <c r="C71">
        <v>34</v>
      </c>
      <c r="D71">
        <v>1</v>
      </c>
      <c r="E71">
        <v>386.43749999999989</v>
      </c>
    </row>
    <row r="72" spans="1:5" x14ac:dyDescent="0.3">
      <c r="A72" t="s">
        <v>85</v>
      </c>
      <c r="B72" t="s">
        <v>3</v>
      </c>
      <c r="C72">
        <v>69</v>
      </c>
      <c r="D72">
        <v>2</v>
      </c>
      <c r="E72">
        <v>29.52</v>
      </c>
    </row>
    <row r="73" spans="1:5" x14ac:dyDescent="0.3">
      <c r="A73" t="s">
        <v>86</v>
      </c>
      <c r="B73" t="s">
        <v>3</v>
      </c>
      <c r="C73">
        <v>54</v>
      </c>
      <c r="D73">
        <v>1</v>
      </c>
      <c r="E73">
        <v>442.80000000000013</v>
      </c>
    </row>
    <row r="74" spans="1:5" x14ac:dyDescent="0.3">
      <c r="A74" t="s">
        <v>87</v>
      </c>
      <c r="B74" t="s">
        <v>3</v>
      </c>
      <c r="C74">
        <v>37</v>
      </c>
      <c r="D74">
        <v>1</v>
      </c>
      <c r="E74">
        <v>207.56250000000006</v>
      </c>
    </row>
    <row r="75" spans="1:5" x14ac:dyDescent="0.3">
      <c r="A75" t="s">
        <v>88</v>
      </c>
      <c r="B75" t="s">
        <v>3</v>
      </c>
      <c r="C75">
        <v>54</v>
      </c>
      <c r="D75">
        <v>2</v>
      </c>
      <c r="E75">
        <v>405.9</v>
      </c>
    </row>
    <row r="76" spans="1:5" x14ac:dyDescent="0.3">
      <c r="A76" t="s">
        <v>89</v>
      </c>
      <c r="B76" t="s">
        <v>3</v>
      </c>
      <c r="C76">
        <v>26</v>
      </c>
      <c r="D76">
        <v>2</v>
      </c>
      <c r="E76">
        <v>199.25999999999993</v>
      </c>
    </row>
    <row r="77" spans="1:5" x14ac:dyDescent="0.3">
      <c r="A77" t="s">
        <v>90</v>
      </c>
      <c r="B77" t="s">
        <v>1</v>
      </c>
      <c r="C77">
        <v>65</v>
      </c>
      <c r="D77">
        <v>1</v>
      </c>
      <c r="E77">
        <v>412.2</v>
      </c>
    </row>
    <row r="78" spans="1:5" x14ac:dyDescent="0.3">
      <c r="A78" t="s">
        <v>91</v>
      </c>
      <c r="B78" t="s">
        <v>3</v>
      </c>
      <c r="C78">
        <v>50</v>
      </c>
      <c r="D78">
        <v>1</v>
      </c>
      <c r="E78">
        <v>553.50000000000011</v>
      </c>
    </row>
    <row r="79" spans="1:5" x14ac:dyDescent="0.3">
      <c r="A79" t="s">
        <v>92</v>
      </c>
      <c r="B79" t="s">
        <v>1</v>
      </c>
      <c r="C79">
        <v>57</v>
      </c>
      <c r="D79">
        <v>2</v>
      </c>
      <c r="E79">
        <v>652.65</v>
      </c>
    </row>
    <row r="80" spans="1:5" x14ac:dyDescent="0.3">
      <c r="A80" t="s">
        <v>93</v>
      </c>
      <c r="B80" t="s">
        <v>3</v>
      </c>
      <c r="C80">
        <v>37</v>
      </c>
      <c r="D80">
        <v>1</v>
      </c>
      <c r="E80">
        <v>207.56250000000006</v>
      </c>
    </row>
    <row r="81" spans="1:5" x14ac:dyDescent="0.3">
      <c r="A81" t="s">
        <v>94</v>
      </c>
      <c r="B81" t="s">
        <v>3</v>
      </c>
      <c r="C81">
        <v>47</v>
      </c>
      <c r="D81">
        <v>1</v>
      </c>
      <c r="E81">
        <v>381.91500000000008</v>
      </c>
    </row>
    <row r="82" spans="1:5" x14ac:dyDescent="0.3">
      <c r="A82" t="s">
        <v>95</v>
      </c>
      <c r="B82" t="s">
        <v>3</v>
      </c>
      <c r="C82">
        <v>64</v>
      </c>
      <c r="D82">
        <v>1</v>
      </c>
      <c r="E82">
        <v>265.68</v>
      </c>
    </row>
    <row r="83" spans="1:5" x14ac:dyDescent="0.3">
      <c r="A83" t="s">
        <v>96</v>
      </c>
      <c r="B83" t="s">
        <v>3</v>
      </c>
      <c r="C83">
        <v>35</v>
      </c>
      <c r="D83">
        <v>2</v>
      </c>
      <c r="E83">
        <v>322.87499999999989</v>
      </c>
    </row>
    <row r="84" spans="1:5" x14ac:dyDescent="0.3">
      <c r="A84" t="s">
        <v>97</v>
      </c>
      <c r="B84" t="s">
        <v>3</v>
      </c>
      <c r="C84">
        <v>69</v>
      </c>
      <c r="D84">
        <v>1</v>
      </c>
      <c r="E84">
        <v>44.28</v>
      </c>
    </row>
    <row r="85" spans="1:5" x14ac:dyDescent="0.3">
      <c r="A85" t="s">
        <v>98</v>
      </c>
      <c r="B85" t="s">
        <v>3</v>
      </c>
      <c r="C85">
        <v>43</v>
      </c>
      <c r="D85">
        <v>1</v>
      </c>
      <c r="E85">
        <v>415.12500000000011</v>
      </c>
    </row>
    <row r="86" spans="1:5" x14ac:dyDescent="0.3">
      <c r="A86" t="s">
        <v>99</v>
      </c>
      <c r="B86" t="s">
        <v>3</v>
      </c>
      <c r="C86">
        <v>43</v>
      </c>
      <c r="D86">
        <v>2</v>
      </c>
      <c r="E86">
        <v>498.14999999999981</v>
      </c>
    </row>
    <row r="87" spans="1:5" x14ac:dyDescent="0.3">
      <c r="A87" t="s">
        <v>100</v>
      </c>
      <c r="B87" t="s">
        <v>3</v>
      </c>
      <c r="C87">
        <v>54</v>
      </c>
      <c r="D87">
        <v>1</v>
      </c>
      <c r="E87">
        <v>442.80000000000013</v>
      </c>
    </row>
    <row r="88" spans="1:5" x14ac:dyDescent="0.3">
      <c r="A88" t="s">
        <v>101</v>
      </c>
      <c r="B88" t="s">
        <v>3</v>
      </c>
      <c r="C88">
        <v>64</v>
      </c>
      <c r="D88">
        <v>2</v>
      </c>
      <c r="E88">
        <v>177.12</v>
      </c>
    </row>
    <row r="89" spans="1:5" x14ac:dyDescent="0.3">
      <c r="A89" t="s">
        <v>102</v>
      </c>
      <c r="B89" t="s">
        <v>3</v>
      </c>
      <c r="C89">
        <v>36</v>
      </c>
      <c r="D89">
        <v>2</v>
      </c>
      <c r="E89">
        <v>346.85999999999984</v>
      </c>
    </row>
    <row r="90" spans="1:5" x14ac:dyDescent="0.3">
      <c r="A90" t="s">
        <v>103</v>
      </c>
      <c r="B90" t="s">
        <v>3</v>
      </c>
      <c r="C90">
        <v>44</v>
      </c>
      <c r="D90">
        <v>1</v>
      </c>
      <c r="E90">
        <v>415.12500000000011</v>
      </c>
    </row>
    <row r="91" spans="1:5" x14ac:dyDescent="0.3">
      <c r="A91" t="s">
        <v>104</v>
      </c>
      <c r="B91" t="s">
        <v>1</v>
      </c>
      <c r="C91">
        <v>42</v>
      </c>
      <c r="D91">
        <v>2</v>
      </c>
      <c r="E91">
        <v>893.10000000000036</v>
      </c>
    </row>
    <row r="92" spans="1:5" x14ac:dyDescent="0.3">
      <c r="A92" t="s">
        <v>105</v>
      </c>
      <c r="B92" t="s">
        <v>3</v>
      </c>
      <c r="C92">
        <v>50</v>
      </c>
      <c r="D92">
        <v>2</v>
      </c>
      <c r="E92">
        <v>479.69999999999987</v>
      </c>
    </row>
    <row r="93" spans="1:5" x14ac:dyDescent="0.3">
      <c r="A93" t="s">
        <v>106</v>
      </c>
      <c r="B93" t="s">
        <v>3</v>
      </c>
      <c r="C93">
        <v>25</v>
      </c>
      <c r="D93">
        <v>1</v>
      </c>
      <c r="E93">
        <v>138.37499999999994</v>
      </c>
    </row>
    <row r="94" spans="1:5" x14ac:dyDescent="0.3">
      <c r="A94" t="s">
        <v>107</v>
      </c>
      <c r="B94" t="s">
        <v>1</v>
      </c>
      <c r="C94">
        <v>53</v>
      </c>
      <c r="D94">
        <v>2</v>
      </c>
      <c r="E94">
        <v>790.05000000000007</v>
      </c>
    </row>
    <row r="95" spans="1:5" x14ac:dyDescent="0.3">
      <c r="A95" t="s">
        <v>108</v>
      </c>
      <c r="B95" t="s">
        <v>3</v>
      </c>
      <c r="C95">
        <v>57</v>
      </c>
      <c r="D95">
        <v>1</v>
      </c>
      <c r="E95">
        <v>359.77500000000009</v>
      </c>
    </row>
    <row r="96" spans="1:5" x14ac:dyDescent="0.3">
      <c r="A96" t="s">
        <v>109</v>
      </c>
      <c r="B96" t="s">
        <v>1</v>
      </c>
      <c r="C96">
        <v>48</v>
      </c>
      <c r="D96">
        <v>2</v>
      </c>
      <c r="E96">
        <v>934.32000000000028</v>
      </c>
    </row>
    <row r="97" spans="1:5" x14ac:dyDescent="0.3">
      <c r="A97" t="s">
        <v>110</v>
      </c>
      <c r="B97" t="s">
        <v>3</v>
      </c>
      <c r="C97">
        <v>67</v>
      </c>
      <c r="D97">
        <v>2</v>
      </c>
      <c r="E97">
        <v>88.56</v>
      </c>
    </row>
    <row r="98" spans="1:5" x14ac:dyDescent="0.3">
      <c r="A98" t="s">
        <v>111</v>
      </c>
      <c r="B98" t="s">
        <v>1</v>
      </c>
      <c r="C98">
        <v>57</v>
      </c>
      <c r="D98">
        <v>2</v>
      </c>
      <c r="E98">
        <v>652.65</v>
      </c>
    </row>
    <row r="99" spans="1:5" x14ac:dyDescent="0.3">
      <c r="A99" t="s">
        <v>112</v>
      </c>
      <c r="B99" t="s">
        <v>3</v>
      </c>
      <c r="C99">
        <v>52</v>
      </c>
      <c r="D99">
        <v>1</v>
      </c>
      <c r="E99">
        <v>498.15000000000015</v>
      </c>
    </row>
    <row r="100" spans="1:5" x14ac:dyDescent="0.3">
      <c r="A100" t="s">
        <v>113</v>
      </c>
      <c r="B100" t="s">
        <v>1</v>
      </c>
      <c r="C100">
        <v>31</v>
      </c>
      <c r="D100">
        <v>1</v>
      </c>
      <c r="E100">
        <v>386.43749999999989</v>
      </c>
    </row>
    <row r="101" spans="1:5" x14ac:dyDescent="0.3">
      <c r="A101" t="s">
        <v>114</v>
      </c>
      <c r="B101" t="s">
        <v>3</v>
      </c>
      <c r="C101">
        <v>46</v>
      </c>
      <c r="D101">
        <v>2</v>
      </c>
      <c r="E101">
        <v>523.97999999999979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Projected_Claims_Calculator</vt:lpstr>
      <vt:lpstr>Group_project_claims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Alphonse Junior Silatchom Nyoumsi III</dc:creator>
  <cp:lastModifiedBy>Nyoumssi Junior</cp:lastModifiedBy>
  <dcterms:created xsi:type="dcterms:W3CDTF">2025-08-03T05:38:44Z</dcterms:created>
  <dcterms:modified xsi:type="dcterms:W3CDTF">2026-10-11T07:47:34Z</dcterms:modified>
</cp:coreProperties>
</file>